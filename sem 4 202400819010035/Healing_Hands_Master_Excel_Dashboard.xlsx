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8d42535d6f4dca6/Desktop/AK/AB LOG/"/>
    </mc:Choice>
  </mc:AlternateContent>
  <xr:revisionPtr revIDLastSave="38" documentId="11_C21EA3691B692066D8777FDA2E622FF89C2B683A" xr6:coauthVersionLast="47" xr6:coauthVersionMax="47" xr10:uidLastSave="{B0F1AE5C-4D48-443B-9ADC-4D33E919C5CC}"/>
  <bookViews>
    <workbookView xWindow="-108" yWindow="-108" windowWidth="23256" windowHeight="12456" activeTab="2" xr2:uid="{00000000-000D-0000-FFFF-FFFF00000000}"/>
  </bookViews>
  <sheets>
    <sheet name="Raw_Data" sheetId="1" r:id="rId1"/>
    <sheet name="Summary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A4" i="3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5" i="2"/>
  <c r="B14" i="2"/>
  <c r="B12" i="2"/>
  <c r="B11" i="2"/>
  <c r="B9" i="2"/>
  <c r="B8" i="2"/>
  <c r="B6" i="2"/>
  <c r="B5" i="2"/>
  <c r="B3" i="2"/>
  <c r="B2" i="2"/>
</calcChain>
</file>

<file path=xl/sharedStrings.xml><?xml version="1.0" encoding="utf-8"?>
<sst xmlns="http://schemas.openxmlformats.org/spreadsheetml/2006/main" count="95" uniqueCount="43">
  <si>
    <t>Date</t>
  </si>
  <si>
    <t>Visit Type</t>
  </si>
  <si>
    <t>Patient Name</t>
  </si>
  <si>
    <t>Gender</t>
  </si>
  <si>
    <t>Revenue Sector</t>
  </si>
  <si>
    <t>Patient Type</t>
  </si>
  <si>
    <t>OPD Revenue</t>
  </si>
  <si>
    <t>Lab Revenue</t>
  </si>
  <si>
    <t>Pharmacy Revenue</t>
  </si>
  <si>
    <t>Total Revenue</t>
  </si>
  <si>
    <t>23-12-2025</t>
  </si>
  <si>
    <t>Appt</t>
  </si>
  <si>
    <t>VIKRAM</t>
  </si>
  <si>
    <t>Male</t>
  </si>
  <si>
    <t>OPD</t>
  </si>
  <si>
    <t>New</t>
  </si>
  <si>
    <t>26-12-2025</t>
  </si>
  <si>
    <t>Walk In</t>
  </si>
  <si>
    <t>ASIT VAKIL</t>
  </si>
  <si>
    <t>Pharmacy</t>
  </si>
  <si>
    <t>02-01-2026</t>
  </si>
  <si>
    <t>FU</t>
  </si>
  <si>
    <t>AASHIQ PATHAN</t>
  </si>
  <si>
    <t>03-01-2026</t>
  </si>
  <si>
    <t>CHETNA JAIN</t>
  </si>
  <si>
    <t>Female</t>
  </si>
  <si>
    <t>RONAK LODHA</t>
  </si>
  <si>
    <t>07-01-2026</t>
  </si>
  <si>
    <t>SURESH PATIDAR</t>
  </si>
  <si>
    <t>09-01-2026</t>
  </si>
  <si>
    <t>PANKAJ WAGHMARE</t>
  </si>
  <si>
    <t>10-01-2026</t>
  </si>
  <si>
    <t>MAYANK BHAVSAR</t>
  </si>
  <si>
    <t>12-01-2026</t>
  </si>
  <si>
    <t>NIKUNJ NAYAK</t>
  </si>
  <si>
    <t>Metric</t>
  </si>
  <si>
    <t>Value</t>
  </si>
  <si>
    <t>Total Patients</t>
  </si>
  <si>
    <t>Revenue</t>
  </si>
  <si>
    <t>Sector</t>
  </si>
  <si>
    <t>Count</t>
  </si>
  <si>
    <t>Daily Revenue</t>
  </si>
  <si>
    <t>HEALING HANDS CLINIC – MASTER EXCEL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</si>
</sst>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</font>
    <font>
      <b/>
      <sz val="22"/>
      <color theme="6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8"/>
      <color theme="1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Gender</a:t>
            </a:r>
          </a:p>
        </c:rich>
      </c:tx>
      <c:layout>
        <c:manualLayout>
          <c:xMode val="edge"/>
          <c:yMode val="edge"/>
          <c:x val="0.2877247579529737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537464196643469"/>
          <c:y val="0.15180379061236993"/>
          <c:w val="0.50111793598414311"/>
          <c:h val="0.6874971051196425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cat>
            <c:strRef>
              <c:f>Summary!$A$5:$A$6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Summary!$B$5:$B$6</c:f>
              <c:numCache>
                <c:formatCode>General</c:formatCode>
                <c:ptCount val="2"/>
                <c:pt idx="0">
                  <c:v>15371</c:v>
                </c:pt>
                <c:pt idx="1">
                  <c:v>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6-4E7F-9F62-161CAAD04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Sector</a:t>
            </a:r>
          </a:p>
        </c:rich>
      </c:tx>
      <c:layout>
        <c:manualLayout>
          <c:xMode val="edge"/>
          <c:yMode val="edge"/>
          <c:x val="0.27482295845094828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638000742331451"/>
          <c:y val="0.17706694285657379"/>
          <c:w val="0.60996314854582567"/>
          <c:h val="0.69343701493437016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cat>
            <c:strRef>
              <c:f>Summary!$A$8:$A$9</c:f>
              <c:strCache>
                <c:ptCount val="2"/>
                <c:pt idx="0">
                  <c:v>OPD</c:v>
                </c:pt>
                <c:pt idx="1">
                  <c:v>Pharmacy</c:v>
                </c:pt>
              </c:strCache>
            </c:strRef>
          </c:cat>
          <c:val>
            <c:numRef>
              <c:f>Summary!$B$8:$B$9</c:f>
              <c:numCache>
                <c:formatCode>General</c:formatCode>
                <c:ptCount val="2"/>
                <c:pt idx="0">
                  <c:v>8639</c:v>
                </c:pt>
                <c:pt idx="1">
                  <c:v>8345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9-4DD9-8469-423F66D9C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Patient Type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cat>
            <c:strRef>
              <c:f>Summary!$A$11:$A$12</c:f>
              <c:strCache>
                <c:ptCount val="2"/>
                <c:pt idx="0">
                  <c:v>New</c:v>
                </c:pt>
                <c:pt idx="1">
                  <c:v>FU</c:v>
                </c:pt>
              </c:strCache>
            </c:strRef>
          </c:cat>
          <c:val>
            <c:numRef>
              <c:f>Summary!$B$11:$B$12</c:f>
              <c:numCache>
                <c:formatCode>General</c:formatCode>
                <c:ptCount val="2"/>
                <c:pt idx="0">
                  <c:v>9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5-4E00-87A0-AB34A9774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Visit Type</a:t>
            </a:r>
          </a:p>
        </c:rich>
      </c:tx>
      <c:layout>
        <c:manualLayout>
          <c:xMode val="edge"/>
          <c:yMode val="edge"/>
          <c:x val="0.39411902990472653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8890611114551E-2"/>
          <c:y val="0.1156950814737359"/>
          <c:w val="0.88527187054374112"/>
          <c:h val="0.71290825986042128"/>
        </c:manualLayout>
      </c:layout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cat>
            <c:strRef>
              <c:f>Summary!$A$14:$A$15</c:f>
              <c:strCache>
                <c:ptCount val="2"/>
                <c:pt idx="0">
                  <c:v>Appt</c:v>
                </c:pt>
                <c:pt idx="1">
                  <c:v>Walk In</c:v>
                </c:pt>
              </c:strCache>
            </c:strRef>
          </c:cat>
          <c:val>
            <c:numRef>
              <c:f>Summary!$B$14:$B$15</c:f>
              <c:numCache>
                <c:formatCode>General</c:formatCode>
                <c:ptCount val="2"/>
                <c:pt idx="0">
                  <c:v>9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E-447C-B220-0398D6007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 Revenue Trend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cat>
            <c:strRef>
              <c:f>Summary!$A$17:$A$26</c:f>
              <c:strCache>
                <c:ptCount val="10"/>
                <c:pt idx="0">
                  <c:v>23-12-2025</c:v>
                </c:pt>
                <c:pt idx="1">
                  <c:v>26-12-2025</c:v>
                </c:pt>
                <c:pt idx="2">
                  <c:v>02-01-2026</c:v>
                </c:pt>
                <c:pt idx="3">
                  <c:v>02-01-2026</c:v>
                </c:pt>
                <c:pt idx="4">
                  <c:v>03-01-2026</c:v>
                </c:pt>
                <c:pt idx="5">
                  <c:v>03-01-2026</c:v>
                </c:pt>
                <c:pt idx="6">
                  <c:v>07-01-2026</c:v>
                </c:pt>
                <c:pt idx="7">
                  <c:v>09-01-2026</c:v>
                </c:pt>
                <c:pt idx="8">
                  <c:v>10-01-2026</c:v>
                </c:pt>
                <c:pt idx="9">
                  <c:v>12-01-2026</c:v>
                </c:pt>
              </c:strCache>
            </c:strRef>
          </c:cat>
          <c:val>
            <c:numRef>
              <c:f>Summary!$B$17:$B$26</c:f>
              <c:numCache>
                <c:formatCode>General</c:formatCode>
                <c:ptCount val="10"/>
                <c:pt idx="0">
                  <c:v>500</c:v>
                </c:pt>
                <c:pt idx="1">
                  <c:v>1638</c:v>
                </c:pt>
                <c:pt idx="2">
                  <c:v>300</c:v>
                </c:pt>
                <c:pt idx="3">
                  <c:v>2113</c:v>
                </c:pt>
                <c:pt idx="4">
                  <c:v>1613</c:v>
                </c:pt>
                <c:pt idx="5">
                  <c:v>2613</c:v>
                </c:pt>
                <c:pt idx="6">
                  <c:v>1500</c:v>
                </c:pt>
                <c:pt idx="7">
                  <c:v>2474</c:v>
                </c:pt>
                <c:pt idx="8">
                  <c:v>3134</c:v>
                </c:pt>
                <c:pt idx="9">
                  <c:v>1099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37-4AE8-94F8-4BAA19517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</xdr:colOff>
      <xdr:row>6</xdr:row>
      <xdr:rowOff>0</xdr:rowOff>
    </xdr:from>
    <xdr:ext cx="3291840" cy="26771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594360</xdr:colOff>
      <xdr:row>6</xdr:row>
      <xdr:rowOff>30480</xdr:rowOff>
    </xdr:from>
    <xdr:ext cx="3017520" cy="265428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24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309155</xdr:colOff>
      <xdr:row>6</xdr:row>
      <xdr:rowOff>38100</xdr:rowOff>
    </xdr:from>
    <xdr:ext cx="3931920" cy="265176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9</xdr:col>
      <xdr:colOff>419878</xdr:colOff>
      <xdr:row>23</xdr:row>
      <xdr:rowOff>139959</xdr:rowOff>
    </xdr:from>
    <xdr:ext cx="5085183" cy="2659224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500</v>
      </c>
      <c r="H2">
        <v>0</v>
      </c>
      <c r="I2">
        <v>0</v>
      </c>
      <c r="J2">
        <v>500</v>
      </c>
    </row>
    <row r="3" spans="1:10" x14ac:dyDescent="0.3">
      <c r="A3" t="s">
        <v>16</v>
      </c>
      <c r="B3" t="s">
        <v>17</v>
      </c>
      <c r="C3" t="s">
        <v>18</v>
      </c>
      <c r="D3" t="s">
        <v>13</v>
      </c>
      <c r="E3" t="s">
        <v>19</v>
      </c>
      <c r="F3" t="s">
        <v>15</v>
      </c>
      <c r="G3">
        <v>500</v>
      </c>
      <c r="H3">
        <v>0</v>
      </c>
      <c r="I3">
        <v>1138</v>
      </c>
      <c r="J3">
        <v>1638</v>
      </c>
    </row>
    <row r="4" spans="1:10" x14ac:dyDescent="0.3">
      <c r="A4" t="s">
        <v>20</v>
      </c>
      <c r="B4" t="s">
        <v>11</v>
      </c>
      <c r="C4" t="s">
        <v>18</v>
      </c>
      <c r="D4" t="s">
        <v>13</v>
      </c>
      <c r="E4" t="s">
        <v>14</v>
      </c>
      <c r="F4" t="s">
        <v>21</v>
      </c>
      <c r="G4">
        <v>300</v>
      </c>
      <c r="H4">
        <v>0</v>
      </c>
      <c r="I4">
        <v>0</v>
      </c>
      <c r="J4">
        <v>300</v>
      </c>
    </row>
    <row r="5" spans="1:10" x14ac:dyDescent="0.3">
      <c r="A5" t="s">
        <v>20</v>
      </c>
      <c r="B5" t="s">
        <v>11</v>
      </c>
      <c r="C5" t="s">
        <v>22</v>
      </c>
      <c r="D5" t="s">
        <v>13</v>
      </c>
      <c r="E5" t="s">
        <v>14</v>
      </c>
      <c r="F5" t="s">
        <v>15</v>
      </c>
      <c r="G5">
        <v>1000</v>
      </c>
      <c r="H5">
        <v>0</v>
      </c>
      <c r="I5">
        <v>1113</v>
      </c>
      <c r="J5">
        <v>2113</v>
      </c>
    </row>
    <row r="6" spans="1:10" x14ac:dyDescent="0.3">
      <c r="A6" t="s">
        <v>23</v>
      </c>
      <c r="B6" t="s">
        <v>11</v>
      </c>
      <c r="C6" t="s">
        <v>24</v>
      </c>
      <c r="D6" t="s">
        <v>25</v>
      </c>
      <c r="E6" t="s">
        <v>14</v>
      </c>
      <c r="F6" t="s">
        <v>15</v>
      </c>
      <c r="G6">
        <v>500</v>
      </c>
      <c r="H6">
        <v>0</v>
      </c>
      <c r="I6">
        <v>1113</v>
      </c>
      <c r="J6">
        <v>1613</v>
      </c>
    </row>
    <row r="7" spans="1:10" x14ac:dyDescent="0.3">
      <c r="A7" t="s">
        <v>23</v>
      </c>
      <c r="B7" t="s">
        <v>11</v>
      </c>
      <c r="C7" t="s">
        <v>26</v>
      </c>
      <c r="D7" t="s">
        <v>13</v>
      </c>
      <c r="E7" t="s">
        <v>14</v>
      </c>
      <c r="F7" t="s">
        <v>15</v>
      </c>
      <c r="G7">
        <v>1500</v>
      </c>
      <c r="H7">
        <v>0</v>
      </c>
      <c r="I7">
        <v>1113</v>
      </c>
      <c r="J7">
        <v>2613</v>
      </c>
    </row>
    <row r="8" spans="1:10" x14ac:dyDescent="0.3">
      <c r="A8" t="s">
        <v>27</v>
      </c>
      <c r="B8" t="s">
        <v>11</v>
      </c>
      <c r="C8" t="s">
        <v>28</v>
      </c>
      <c r="D8" t="s">
        <v>13</v>
      </c>
      <c r="E8" t="s">
        <v>14</v>
      </c>
      <c r="F8" t="s">
        <v>15</v>
      </c>
      <c r="G8">
        <v>1500</v>
      </c>
      <c r="H8">
        <v>0</v>
      </c>
      <c r="I8">
        <v>0</v>
      </c>
      <c r="J8">
        <v>1500</v>
      </c>
    </row>
    <row r="9" spans="1:10" x14ac:dyDescent="0.3">
      <c r="A9" t="s">
        <v>29</v>
      </c>
      <c r="B9" t="s">
        <v>11</v>
      </c>
      <c r="C9" t="s">
        <v>30</v>
      </c>
      <c r="D9" t="s">
        <v>13</v>
      </c>
      <c r="E9" t="s">
        <v>19</v>
      </c>
      <c r="F9" t="s">
        <v>15</v>
      </c>
      <c r="G9">
        <v>1500</v>
      </c>
      <c r="H9">
        <v>0</v>
      </c>
      <c r="I9">
        <v>974</v>
      </c>
      <c r="J9">
        <v>2474</v>
      </c>
    </row>
    <row r="10" spans="1:10" x14ac:dyDescent="0.3">
      <c r="A10" t="s">
        <v>31</v>
      </c>
      <c r="B10" t="s">
        <v>11</v>
      </c>
      <c r="C10" t="s">
        <v>32</v>
      </c>
      <c r="D10" t="s">
        <v>13</v>
      </c>
      <c r="E10" t="s">
        <v>19</v>
      </c>
      <c r="F10" t="s">
        <v>15</v>
      </c>
      <c r="G10">
        <v>1500</v>
      </c>
      <c r="H10">
        <v>0</v>
      </c>
      <c r="I10">
        <v>1634</v>
      </c>
      <c r="J10">
        <v>3134</v>
      </c>
    </row>
    <row r="11" spans="1:10" x14ac:dyDescent="0.3">
      <c r="A11" t="s">
        <v>33</v>
      </c>
      <c r="B11" t="s">
        <v>11</v>
      </c>
      <c r="C11" t="s">
        <v>34</v>
      </c>
      <c r="D11" t="s">
        <v>13</v>
      </c>
      <c r="E11" t="s">
        <v>19</v>
      </c>
      <c r="F11" t="s">
        <v>15</v>
      </c>
      <c r="G11">
        <v>500</v>
      </c>
      <c r="H11">
        <v>0</v>
      </c>
      <c r="I11">
        <v>599</v>
      </c>
      <c r="J11">
        <v>1099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4.4" x14ac:dyDescent="0.3"/>
  <sheetData>
    <row r="1" spans="1:2" x14ac:dyDescent="0.3">
      <c r="A1" t="s">
        <v>35</v>
      </c>
      <c r="B1" t="s">
        <v>36</v>
      </c>
    </row>
    <row r="2" spans="1:2" x14ac:dyDescent="0.3">
      <c r="A2" t="s">
        <v>9</v>
      </c>
      <c r="B2">
        <f>SUM(Raw_Data!J2:J11)</f>
        <v>16984</v>
      </c>
    </row>
    <row r="3" spans="1:2" x14ac:dyDescent="0.3">
      <c r="A3" t="s">
        <v>37</v>
      </c>
      <c r="B3">
        <f>COUNTA(Raw_Data!C2:C11)</f>
        <v>10</v>
      </c>
    </row>
    <row r="4" spans="1:2" x14ac:dyDescent="0.3">
      <c r="A4" t="s">
        <v>3</v>
      </c>
      <c r="B4" t="s">
        <v>38</v>
      </c>
    </row>
    <row r="5" spans="1:2" x14ac:dyDescent="0.3">
      <c r="A5" t="s">
        <v>13</v>
      </c>
      <c r="B5">
        <f>SUMIF(Raw_Data!D:D,"Male",Raw_Data!J:J)</f>
        <v>15371</v>
      </c>
    </row>
    <row r="6" spans="1:2" x14ac:dyDescent="0.3">
      <c r="A6" t="s">
        <v>25</v>
      </c>
      <c r="B6">
        <f>SUMIF(Raw_Data!D:D,"Female",Raw_Data!J:J)</f>
        <v>1613</v>
      </c>
    </row>
    <row r="7" spans="1:2" x14ac:dyDescent="0.3">
      <c r="A7" t="s">
        <v>39</v>
      </c>
      <c r="B7" t="s">
        <v>38</v>
      </c>
    </row>
    <row r="8" spans="1:2" x14ac:dyDescent="0.3">
      <c r="A8" t="s">
        <v>14</v>
      </c>
      <c r="B8">
        <f>SUMIF(Raw_Data!E:E,"OPD",Raw_Data!J:J)</f>
        <v>8639</v>
      </c>
    </row>
    <row r="9" spans="1:2" x14ac:dyDescent="0.3">
      <c r="A9" t="s">
        <v>19</v>
      </c>
      <c r="B9">
        <f>SUMIF(Raw_Data!E:E,"Pharmacy",Raw_Data!J:J)</f>
        <v>8345</v>
      </c>
    </row>
    <row r="10" spans="1:2" x14ac:dyDescent="0.3">
      <c r="A10" t="s">
        <v>5</v>
      </c>
      <c r="B10" t="s">
        <v>40</v>
      </c>
    </row>
    <row r="11" spans="1:2" x14ac:dyDescent="0.3">
      <c r="A11" t="s">
        <v>15</v>
      </c>
      <c r="B11">
        <f>COUNTIF(Raw_Data!F:F,"New")</f>
        <v>9</v>
      </c>
    </row>
    <row r="12" spans="1:2" x14ac:dyDescent="0.3">
      <c r="A12" t="s">
        <v>21</v>
      </c>
      <c r="B12">
        <f>COUNTIF(Raw_Data!F:F,"FU")</f>
        <v>1</v>
      </c>
    </row>
    <row r="13" spans="1:2" x14ac:dyDescent="0.3">
      <c r="A13" t="s">
        <v>1</v>
      </c>
      <c r="B13" t="s">
        <v>40</v>
      </c>
    </row>
    <row r="14" spans="1:2" x14ac:dyDescent="0.3">
      <c r="A14" t="s">
        <v>11</v>
      </c>
      <c r="B14">
        <f>COUNTIF(Raw_Data!B:B,"Appt")</f>
        <v>9</v>
      </c>
    </row>
    <row r="15" spans="1:2" x14ac:dyDescent="0.3">
      <c r="A15" t="s">
        <v>17</v>
      </c>
      <c r="B15">
        <f>COUNTIF(Raw_Data!B:B,"Walk In")</f>
        <v>1</v>
      </c>
    </row>
    <row r="16" spans="1:2" x14ac:dyDescent="0.3">
      <c r="A16" t="s">
        <v>0</v>
      </c>
      <c r="B16" t="s">
        <v>41</v>
      </c>
    </row>
    <row r="17" spans="1:2" x14ac:dyDescent="0.3">
      <c r="A17" t="str">
        <f>Raw_Data!A2</f>
        <v>23-12-2025</v>
      </c>
      <c r="B17">
        <f>Raw_Data!J2</f>
        <v>500</v>
      </c>
    </row>
    <row r="18" spans="1:2" x14ac:dyDescent="0.3">
      <c r="A18" t="str">
        <f>Raw_Data!A3</f>
        <v>26-12-2025</v>
      </c>
      <c r="B18">
        <f>Raw_Data!J3</f>
        <v>1638</v>
      </c>
    </row>
    <row r="19" spans="1:2" x14ac:dyDescent="0.3">
      <c r="A19" t="str">
        <f>Raw_Data!A4</f>
        <v>02-01-2026</v>
      </c>
      <c r="B19">
        <f>Raw_Data!J4</f>
        <v>300</v>
      </c>
    </row>
    <row r="20" spans="1:2" x14ac:dyDescent="0.3">
      <c r="A20" t="str">
        <f>Raw_Data!A5</f>
        <v>02-01-2026</v>
      </c>
      <c r="B20">
        <f>Raw_Data!J5</f>
        <v>2113</v>
      </c>
    </row>
    <row r="21" spans="1:2" x14ac:dyDescent="0.3">
      <c r="A21" t="str">
        <f>Raw_Data!A6</f>
        <v>03-01-2026</v>
      </c>
      <c r="B21">
        <f>Raw_Data!J6</f>
        <v>1613</v>
      </c>
    </row>
    <row r="22" spans="1:2" x14ac:dyDescent="0.3">
      <c r="A22" t="str">
        <f>Raw_Data!A7</f>
        <v>03-01-2026</v>
      </c>
      <c r="B22">
        <f>Raw_Data!J7</f>
        <v>2613</v>
      </c>
    </row>
    <row r="23" spans="1:2" x14ac:dyDescent="0.3">
      <c r="A23" t="str">
        <f>Raw_Data!A8</f>
        <v>07-01-2026</v>
      </c>
      <c r="B23">
        <f>Raw_Data!J8</f>
        <v>1500</v>
      </c>
    </row>
    <row r="24" spans="1:2" x14ac:dyDescent="0.3">
      <c r="A24" t="str">
        <f>Raw_Data!A9</f>
        <v>09-01-2026</v>
      </c>
      <c r="B24">
        <f>Raw_Data!J9</f>
        <v>2474</v>
      </c>
    </row>
    <row r="25" spans="1:2" x14ac:dyDescent="0.3">
      <c r="A25" t="str">
        <f>Raw_Data!A10</f>
        <v>10-01-2026</v>
      </c>
      <c r="B25">
        <f>Raw_Data!J10</f>
        <v>3134</v>
      </c>
    </row>
    <row r="26" spans="1:2" x14ac:dyDescent="0.3">
      <c r="A26" t="str">
        <f>Raw_Data!A11</f>
        <v>12-01-2026</v>
      </c>
      <c r="B26">
        <f>Raw_Data!J11</f>
        <v>1099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"/>
  <sheetViews>
    <sheetView tabSelected="1" topLeftCell="A3" zoomScale="60" zoomScaleNormal="60" workbookViewId="0">
      <selection activeCell="J4" sqref="J4"/>
    </sheetView>
  </sheetViews>
  <sheetFormatPr defaultRowHeight="14.4" x14ac:dyDescent="0.3"/>
  <cols>
    <col min="1" max="1" width="12" bestFit="1" customWidth="1"/>
    <col min="4" max="4" width="12.44140625" customWidth="1"/>
  </cols>
  <sheetData>
    <row r="1" spans="1:18" ht="23.4" x14ac:dyDescent="0.45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spans="1:18" ht="22.2" x14ac:dyDescent="0.35">
      <c r="A3" s="6" t="s">
        <v>9</v>
      </c>
      <c r="B3" s="2"/>
      <c r="C3" s="5" t="s">
        <v>37</v>
      </c>
      <c r="D3" s="5"/>
    </row>
    <row r="4" spans="1:18" ht="28.8" x14ac:dyDescent="0.55000000000000004">
      <c r="A4" s="3">
        <f>Summary!B2</f>
        <v>16984</v>
      </c>
      <c r="C4" s="4">
        <f>Summary!B3</f>
        <v>10</v>
      </c>
    </row>
  </sheetData>
  <mergeCells count="2">
    <mergeCell ref="A1:R1"/>
    <mergeCell ref="C3:D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Mehta</cp:lastModifiedBy>
  <dcterms:created xsi:type="dcterms:W3CDTF">2026-01-16T07:45:32Z</dcterms:created>
  <dcterms:modified xsi:type="dcterms:W3CDTF">2026-01-16T18:11:25Z</dcterms:modified>
</cp:coreProperties>
</file>